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ushp\Downloads\"/>
    </mc:Choice>
  </mc:AlternateContent>
  <xr:revisionPtr revIDLastSave="0" documentId="8_{E1EEFD13-C8B4-439B-AD67-9D02A6601C8C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Read Me" sheetId="7" r:id="rId1"/>
    <sheet name="3.1 Outward Details" sheetId="8" r:id="rId2"/>
    <sheet name="3.1.1   Supplies under 9(5)" sheetId="9" r:id="rId3"/>
    <sheet name="3.1.2  Out of supplies made 3.1" sheetId="10" r:id="rId4"/>
    <sheet name="4. ITC Details" sheetId="6" r:id="rId5"/>
    <sheet name="GSTR-3B Detailed" sheetId="2" r:id="rId6"/>
    <sheet name="6.1 Payment of Tax" sheetId="3" r:id="rId7"/>
    <sheet name="Extraction Audit" sheetId="5" r:id="rId8"/>
  </sheets>
  <definedNames>
    <definedName name="_xlnm._FilterDatabase" localSheetId="4" hidden="1">'4. ITC Details'!$A$3:$AO$5</definedName>
    <definedName name="_xlnm._FilterDatabase" localSheetId="6" hidden="1">'6.1 Payment of Tax'!$A$1:$P$9</definedName>
    <definedName name="_xlnm._FilterDatabase" localSheetId="7" hidden="1">'Extraction Audit'!$A$1:$H$31</definedName>
    <definedName name="_xlnm._FilterDatabase" localSheetId="5" hidden="1">'GSTR-3B Detailed'!$A$1:$K$12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9" l="1"/>
  <c r="F5" i="9"/>
  <c r="D5" i="10"/>
  <c r="E5" i="10"/>
  <c r="F5" i="10"/>
  <c r="I5" i="10"/>
  <c r="J5" i="10"/>
  <c r="H5" i="10"/>
  <c r="G5" i="10"/>
  <c r="C5" i="10"/>
  <c r="B5" i="10"/>
  <c r="E5" i="9"/>
  <c r="D5" i="9"/>
  <c r="C5" i="9"/>
  <c r="B5" i="9"/>
  <c r="Y5" i="8"/>
  <c r="X5" i="8"/>
  <c r="W5" i="8"/>
  <c r="V5" i="8"/>
  <c r="T5" i="8"/>
  <c r="S5" i="8"/>
  <c r="R5" i="8"/>
  <c r="Q5" i="8"/>
  <c r="C5" i="8"/>
  <c r="D5" i="8"/>
  <c r="E5" i="8"/>
  <c r="F5" i="8"/>
  <c r="O5" i="8"/>
  <c r="N5" i="8"/>
  <c r="M5" i="8"/>
  <c r="L5" i="8"/>
  <c r="J5" i="8"/>
  <c r="I5" i="8"/>
  <c r="H5" i="8"/>
  <c r="G5" i="8"/>
  <c r="B5" i="8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</calcChain>
</file>

<file path=xl/sharedStrings.xml><?xml version="1.0" encoding="utf-8"?>
<sst xmlns="http://schemas.openxmlformats.org/spreadsheetml/2006/main" count="474" uniqueCount="106">
  <si>
    <t>Month</t>
  </si>
  <si>
    <t>GSTIN</t>
  </si>
  <si>
    <t>FY</t>
  </si>
  <si>
    <t>Apr-25</t>
  </si>
  <si>
    <t>29AAACI5754J1Z8</t>
  </si>
  <si>
    <t>2025-26</t>
  </si>
  <si>
    <t>Section</t>
  </si>
  <si>
    <t>Particular</t>
  </si>
  <si>
    <t>Taxable Value</t>
  </si>
  <si>
    <t>IGST</t>
  </si>
  <si>
    <t>CGST</t>
  </si>
  <si>
    <t>SGST/UTGST</t>
  </si>
  <si>
    <t>Cess</t>
  </si>
  <si>
    <t>Page</t>
  </si>
  <si>
    <t>3.1</t>
  </si>
  <si>
    <t>(a) Outward taxable supplies (other than zero rated, nil rated and exempted)</t>
  </si>
  <si>
    <t>(b) Outward taxable supplies (zero rated)</t>
  </si>
  <si>
    <t>(d) Inward supplies (liable to reverse charge)</t>
  </si>
  <si>
    <t>(e) Non-GST outward supplies</t>
  </si>
  <si>
    <t>3.1.1</t>
  </si>
  <si>
    <t>I (i) Taxable supplies on which electronic commerce operator pays tax u/s 9(5) [to be furnished by electronic commerce operator]</t>
  </si>
  <si>
    <t>F (ii) Taxable supplies made by registered person through electronic commerce operator, on which electronic commerce operator is required to pay tax u/s 9(5) [to be furnished by registered person making supplies through electronic commerce operator]</t>
  </si>
  <si>
    <t>3.2</t>
  </si>
  <si>
    <t>Supplies made to Unregistered Persons</t>
  </si>
  <si>
    <t>Supplies made to Composition Taxable Persons</t>
  </si>
  <si>
    <t>Supplies made to UIN holders</t>
  </si>
  <si>
    <t>5</t>
  </si>
  <si>
    <t>From a supplier under composition scheme, Exempt, Nil rated supply</t>
  </si>
  <si>
    <t>Non GST supply</t>
  </si>
  <si>
    <t>Tax Head</t>
  </si>
  <si>
    <t>Tax Payable</t>
  </si>
  <si>
    <t>Negative Liability Adjustment</t>
  </si>
  <si>
    <t>Net Tax Payable</t>
  </si>
  <si>
    <t>ITC IGST</t>
  </si>
  <si>
    <t>ITC CGST</t>
  </si>
  <si>
    <t>ITC SGST</t>
  </si>
  <si>
    <t>ITC Cess</t>
  </si>
  <si>
    <t>Tax Paid in Cash</t>
  </si>
  <si>
    <t>Interest Paid in Cash</t>
  </si>
  <si>
    <t>Late Fee Paid in Cash</t>
  </si>
  <si>
    <t>6.1(A) Other than reverse charge</t>
  </si>
  <si>
    <t>Integrated tax</t>
  </si>
  <si>
    <t>Central tax</t>
  </si>
  <si>
    <t>State/UT tax</t>
  </si>
  <si>
    <t>6.1(B) Reverse charge and supplies made u/s 9(5)</t>
  </si>
  <si>
    <t>Source PDF</t>
  </si>
  <si>
    <t>Value / Details</t>
  </si>
  <si>
    <t>GSTR3B_29AAACI5754J1Z8_042025.pdf</t>
  </si>
  <si>
    <t>Taxable=110945090.51; IGST=15764952.54; CGST=1965470.14; SGST=1965470.14; Cess=0.00</t>
  </si>
  <si>
    <t>Taxable=8243111.13; IGST=0.00; CGST=0.00; SGST=0.00; Cess=0.00</t>
  </si>
  <si>
    <t>Taxable=3664332.00; IGST=434600.00; CGST=35485.00; SGST=35485.00; Cess=0.00</t>
  </si>
  <si>
    <t>Taxable=0.00; IGST=0.00; CGST=0.00; SGST=0.00; Cess=0.00</t>
  </si>
  <si>
    <t>4A - ITC Available</t>
  </si>
  <si>
    <t>(1) Import of goods</t>
  </si>
  <si>
    <t>Taxable=0.00; IGST=2336155.00; CGST=0.00; SGST=0.00; Cess=0.00</t>
  </si>
  <si>
    <t>(2) Import of services</t>
  </si>
  <si>
    <t>(3) Inward supplies liable to reverse charge (other than 1 &amp; 2 above)</t>
  </si>
  <si>
    <t>Taxable=0.00; IGST=434600.00; CGST=33490.00; SGST=33490.00; Cess=0.00</t>
  </si>
  <si>
    <t>(4) Inward supplies from ISD</t>
  </si>
  <si>
    <t>(5) All other ITC</t>
  </si>
  <si>
    <t>Taxable=0.00; IGST=6141030.00; CGST=3316575.00; SGST=3316575.00; Cess=0.00</t>
  </si>
  <si>
    <t>4B - ITC Reversed</t>
  </si>
  <si>
    <t>(1) As per rules 38,42 &amp; 43 of CGST Rules and section 17(5)</t>
  </si>
  <si>
    <t>(2) Others</t>
  </si>
  <si>
    <t>Taxable=0.00; IGST=1535901.00; CGST=346912.00; SGST=346912.00; Cess=0.00</t>
  </si>
  <si>
    <t>4C - Net ITC Available</t>
  </si>
  <si>
    <t>C. Net ITC available (A-B)</t>
  </si>
  <si>
    <t>Taxable=0.00; IGST=7375884.00; CGST=3003153.00; SGST=3003153.00; Cess=0.00</t>
  </si>
  <si>
    <t>4D - Other Details</t>
  </si>
  <si>
    <t>(D) Other Details</t>
  </si>
  <si>
    <t>Taxable=0.00; IGST=2977185.00; CGST=505064.00; SGST=505064.00; Cess=0.00</t>
  </si>
  <si>
    <t>(1) ITC reclaimed which was reversed under Table 4(B)(2) in earlier tax period</t>
  </si>
  <si>
    <t>Taxable=0.00; IGST=2977185.00; CGST=48194.00; SGST=48194.00; Cess=0.00</t>
  </si>
  <si>
    <t>(2) Ineligible ITC under section 16(4) &amp; ITC restricted due to PoS rules</t>
  </si>
  <si>
    <t>Taxable=0.00; IGST=0.00; CGST=456870.00; SGST=456870.00; Cess=0.00</t>
  </si>
  <si>
    <t>Payable=15764953.00; Net=15764953.00; ITC=9451250.00; Cash=6313703.00</t>
  </si>
  <si>
    <t>Payable=1965470.00; Net=1965470.00; ITC=1965470.00; Cash=0.00</t>
  </si>
  <si>
    <t>Payable=0.00; Net=0.00; ITC=0.00; Cash=0.00</t>
  </si>
  <si>
    <t>Payable=434600.00; Net=434600.00; ITC=0.00; Cash=434600.00</t>
  </si>
  <si>
    <t>Payable=35485.00; Net=35485.00; ITC=0.00; Cash=35485.00</t>
  </si>
  <si>
    <t>A. ITC Available</t>
  </si>
  <si>
    <t>B. ITC Reversed</t>
  </si>
  <si>
    <t>D. Other Details</t>
  </si>
  <si>
    <t>Grand Total</t>
  </si>
  <si>
    <t>Tool</t>
  </si>
  <si>
    <t>GSTR-3B PDF to Excel Analyzer</t>
  </si>
  <si>
    <t>Developer</t>
  </si>
  <si>
    <t>Pushpak Kumar</t>
  </si>
  <si>
    <t>Purpose</t>
  </si>
  <si>
    <t>Month-wise extraction and consolidation of filed GSTR-3B PDF copies.</t>
  </si>
  <si>
    <t>Month Format</t>
  </si>
  <si>
    <t>Apr-25, May-25, ... Mar-26</t>
  </si>
  <si>
    <t>Coverage</t>
  </si>
  <si>
    <t>Tables 3.1, 3.1.1, 3.2, 4, 5, 5.1, 6.1 and tax-liability breakup, subject to availability in the filed PDF.</t>
  </si>
  <si>
    <t>Invoice/Tax Note</t>
  </si>
  <si>
    <t>GSTR-3B does not contain invoice-level invoice values; the tool preserves the table-level taxable value and tax components reported in the filed return.</t>
  </si>
  <si>
    <t>Audit</t>
  </si>
  <si>
    <t>Extraction Audit records source PDF, page, section and extracted values.</t>
  </si>
  <si>
    <t>3.1 Details of Outward supplies and inward supplies liable to reverse charge (other than those covered by Table 3.1.1)</t>
  </si>
  <si>
    <t>(a) Outward taxable supplies (other than zero rated, nil rated 
and exempted)</t>
  </si>
  <si>
    <t>Total Taxable Value</t>
  </si>
  <si>
    <t>(c ) Other outward supplies (nil rated, exempted)</t>
  </si>
  <si>
    <t>3.1.1 Details of Supplies notified under section 9(5) of the CGST Act, 2017 and corresponding provisions in IGST/UTGST/SGST Acts</t>
  </si>
  <si>
    <t>(i) Taxable supplies on which electronic commerce operator pays tax u/s 9(5) [to 
be furnished by electronic commerce operator]</t>
  </si>
  <si>
    <t>(ii) Taxable supplies made by registered person through electronic commerce 
operator, on which electronic commerce operator is required  to pay tax u/s 9(5) 
[to be furnished by registered person making supplies through electronic 
commerce operator]</t>
  </si>
  <si>
    <t>Supplies made to Composition Taxable 
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</si>
</sst>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98002E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8002E"/>
      </patternFill>
    </fill>
    <fill>
      <patternFill patternType="solid">
        <fgColor rgb="FFF3E6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CE3"/>
      </bottom>
      <diagonal/>
    </border>
    <border>
      <left/>
      <right/>
      <top style="thin">
        <color rgb="FFD9DCE3"/>
      </top>
      <bottom style="thin">
        <color rgb="FFD9DC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4" fontId="2" fillId="3" borderId="1" xfId="0" applyNumberFormat="1" applyFont="1" applyFill="1" applyBorder="1"/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5" x14ac:dyDescent="0.25"/>
  <cols>
    <col min="1" max="1" width="22" customWidth="1"/>
    <col min="2" max="2" width="110" customWidth="1"/>
  </cols>
  <sheetData>
    <row r="1" spans="1:2" x14ac:dyDescent="0.25">
      <c r="A1" s="4" t="s">
        <v>84</v>
      </c>
      <c r="B1" s="6" t="s">
        <v>85</v>
      </c>
    </row>
    <row r="2" spans="1:2" x14ac:dyDescent="0.25">
      <c r="A2" s="4" t="s">
        <v>86</v>
      </c>
      <c r="B2" s="6" t="s">
        <v>87</v>
      </c>
    </row>
    <row r="3" spans="1:2" x14ac:dyDescent="0.25">
      <c r="A3" s="4" t="s">
        <v>88</v>
      </c>
      <c r="B3" s="6" t="s">
        <v>89</v>
      </c>
    </row>
    <row r="4" spans="1:2" x14ac:dyDescent="0.25">
      <c r="A4" s="4" t="s">
        <v>90</v>
      </c>
      <c r="B4" s="6" t="s">
        <v>91</v>
      </c>
    </row>
    <row r="5" spans="1:2" x14ac:dyDescent="0.25">
      <c r="A5" s="4" t="s">
        <v>92</v>
      </c>
      <c r="B5" s="6" t="s">
        <v>93</v>
      </c>
    </row>
    <row r="6" spans="1:2" ht="30" x14ac:dyDescent="0.25">
      <c r="A6" s="4" t="s">
        <v>94</v>
      </c>
      <c r="B6" s="6" t="s">
        <v>95</v>
      </c>
    </row>
    <row r="7" spans="1:2" x14ac:dyDescent="0.25">
      <c r="A7" s="4" t="s">
        <v>96</v>
      </c>
      <c r="B7" s="6" t="s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40A3-95AB-4382-AFA9-A3FBA8DF0CB8}">
  <dimension ref="A1:Z5"/>
  <sheetViews>
    <sheetView zoomScale="163" workbookViewId="0">
      <selection activeCell="B13" sqref="B13"/>
    </sheetView>
  </sheetViews>
  <sheetFormatPr defaultRowHeight="15" x14ac:dyDescent="0.25"/>
  <cols>
    <col min="1" max="1" width="14" customWidth="1"/>
    <col min="2" max="26" width="16" customWidth="1"/>
  </cols>
  <sheetData>
    <row r="1" spans="1:26" ht="27.95" customHeight="1" x14ac:dyDescent="0.25">
      <c r="A1" s="9" t="s">
        <v>0</v>
      </c>
      <c r="B1" s="9" t="s">
        <v>98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57.95" customHeight="1" x14ac:dyDescent="0.25">
      <c r="A2" s="8"/>
      <c r="B2" s="10" t="s">
        <v>99</v>
      </c>
      <c r="C2" s="10"/>
      <c r="D2" s="10"/>
      <c r="E2" s="10"/>
      <c r="F2" s="10"/>
      <c r="G2" s="10" t="s">
        <v>16</v>
      </c>
      <c r="H2" s="10"/>
      <c r="I2" s="10"/>
      <c r="J2" s="10"/>
      <c r="K2" s="10"/>
      <c r="L2" s="10" t="s">
        <v>101</v>
      </c>
      <c r="M2" s="10"/>
      <c r="N2" s="10"/>
      <c r="O2" s="10"/>
      <c r="P2" s="10"/>
      <c r="Q2" s="10" t="s">
        <v>17</v>
      </c>
      <c r="R2" s="10"/>
      <c r="S2" s="10"/>
      <c r="T2" s="10"/>
      <c r="U2" s="10"/>
      <c r="V2" s="7" t="s">
        <v>18</v>
      </c>
      <c r="W2" s="8"/>
      <c r="X2" s="8"/>
      <c r="Y2" s="8"/>
      <c r="Z2" s="8"/>
    </row>
    <row r="3" spans="1:26" ht="38.1" customHeight="1" x14ac:dyDescent="0.25">
      <c r="A3" s="8"/>
      <c r="B3" s="3" t="s">
        <v>100</v>
      </c>
      <c r="C3" s="3" t="s">
        <v>41</v>
      </c>
      <c r="D3" s="3" t="s">
        <v>42</v>
      </c>
      <c r="E3" s="3" t="s">
        <v>43</v>
      </c>
      <c r="F3" s="3" t="s">
        <v>12</v>
      </c>
      <c r="G3" s="3" t="s">
        <v>100</v>
      </c>
      <c r="H3" s="3" t="s">
        <v>41</v>
      </c>
      <c r="I3" s="3" t="s">
        <v>42</v>
      </c>
      <c r="J3" s="3" t="s">
        <v>43</v>
      </c>
      <c r="K3" s="3" t="s">
        <v>12</v>
      </c>
      <c r="L3" s="3" t="s">
        <v>100</v>
      </c>
      <c r="M3" s="3" t="s">
        <v>41</v>
      </c>
      <c r="N3" s="3" t="s">
        <v>42</v>
      </c>
      <c r="O3" s="3" t="s">
        <v>43</v>
      </c>
      <c r="P3" s="3" t="s">
        <v>12</v>
      </c>
      <c r="Q3" s="3" t="s">
        <v>100</v>
      </c>
      <c r="R3" s="3" t="s">
        <v>41</v>
      </c>
      <c r="S3" s="3" t="s">
        <v>42</v>
      </c>
      <c r="T3" s="3" t="s">
        <v>43</v>
      </c>
      <c r="U3" s="3" t="s">
        <v>12</v>
      </c>
      <c r="V3" s="3" t="s">
        <v>100</v>
      </c>
      <c r="W3" s="3" t="s">
        <v>41</v>
      </c>
      <c r="X3" s="3" t="s">
        <v>42</v>
      </c>
      <c r="Y3" s="3" t="s">
        <v>43</v>
      </c>
      <c r="Z3" s="3" t="s">
        <v>12</v>
      </c>
    </row>
    <row r="4" spans="1:26" x14ac:dyDescent="0.25">
      <c r="A4" t="s">
        <v>3</v>
      </c>
      <c r="B4" s="2">
        <v>2336155</v>
      </c>
      <c r="C4" s="2">
        <v>2336155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/>
      <c r="L4" s="2">
        <v>434600</v>
      </c>
      <c r="M4" s="2">
        <v>33490</v>
      </c>
      <c r="N4" s="2">
        <v>33490</v>
      </c>
      <c r="O4" s="2">
        <v>0</v>
      </c>
      <c r="P4" s="2"/>
      <c r="Q4" s="2">
        <v>434600</v>
      </c>
      <c r="R4" s="2">
        <v>33490</v>
      </c>
      <c r="S4" s="2">
        <v>33490</v>
      </c>
      <c r="T4" s="2">
        <v>0</v>
      </c>
      <c r="U4" s="2"/>
      <c r="V4" s="2">
        <v>434600</v>
      </c>
      <c r="W4" s="2">
        <v>33490</v>
      </c>
      <c r="X4" s="2">
        <v>33490</v>
      </c>
      <c r="Y4" s="2">
        <v>0</v>
      </c>
      <c r="Z4" s="2"/>
    </row>
    <row r="5" spans="1:26" x14ac:dyDescent="0.25">
      <c r="A5" s="4" t="s">
        <v>83</v>
      </c>
      <c r="B5" s="5">
        <f t="shared" ref="B5:Z5" si="0">SUM(B4:B4)</f>
        <v>2336155</v>
      </c>
      <c r="C5" s="5">
        <f t="shared" ref="C5" si="1">SUM(C4:C4)</f>
        <v>2336155</v>
      </c>
      <c r="D5" s="5">
        <f t="shared" ref="D5" si="2">SUM(D4:D4)</f>
        <v>0</v>
      </c>
      <c r="E5" s="5">
        <f t="shared" ref="E5" si="3">SUM(E4:E4)</f>
        <v>0</v>
      </c>
      <c r="F5" s="5">
        <f t="shared" ref="F5" si="4">SUM(F4:F4)</f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/>
      <c r="L5" s="5">
        <f t="shared" si="0"/>
        <v>434600</v>
      </c>
      <c r="M5" s="5">
        <f t="shared" si="0"/>
        <v>33490</v>
      </c>
      <c r="N5" s="5">
        <f t="shared" si="0"/>
        <v>33490</v>
      </c>
      <c r="O5" s="5">
        <f t="shared" si="0"/>
        <v>0</v>
      </c>
      <c r="P5" s="5"/>
      <c r="Q5" s="5">
        <f t="shared" ref="Q5" si="5">SUM(Q4:Q4)</f>
        <v>434600</v>
      </c>
      <c r="R5" s="5">
        <f t="shared" ref="R5" si="6">SUM(R4:R4)</f>
        <v>33490</v>
      </c>
      <c r="S5" s="5">
        <f t="shared" ref="S5" si="7">SUM(S4:S4)</f>
        <v>33490</v>
      </c>
      <c r="T5" s="5">
        <f t="shared" ref="T5" si="8">SUM(T4:T4)</f>
        <v>0</v>
      </c>
      <c r="U5" s="5"/>
      <c r="V5" s="5">
        <f t="shared" ref="V5" si="9">SUM(V4:V4)</f>
        <v>434600</v>
      </c>
      <c r="W5" s="5">
        <f t="shared" ref="W5" si="10">SUM(W4:W4)</f>
        <v>33490</v>
      </c>
      <c r="X5" s="5">
        <f t="shared" ref="X5" si="11">SUM(X4:X4)</f>
        <v>33490</v>
      </c>
      <c r="Y5" s="5">
        <f t="shared" ref="Y5" si="12">SUM(Y4:Y4)</f>
        <v>0</v>
      </c>
      <c r="Z5" s="5"/>
    </row>
  </sheetData>
  <mergeCells count="7">
    <mergeCell ref="B2:F2"/>
    <mergeCell ref="G2:K2"/>
    <mergeCell ref="L2:P2"/>
    <mergeCell ref="Q2:U2"/>
    <mergeCell ref="A1:A3"/>
    <mergeCell ref="B1:Z1"/>
    <mergeCell ref="V2:Z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4BA6-ED4F-417C-A1FD-B3BF64A9220C}">
  <dimension ref="A1:G5"/>
  <sheetViews>
    <sheetView zoomScale="163" workbookViewId="0">
      <selection activeCell="D13" sqref="D13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3" width="13.5703125" bestFit="1" customWidth="1"/>
    <col min="4" max="4" width="12.7109375" bestFit="1" customWidth="1"/>
    <col min="5" max="5" width="13.5703125" bestFit="1" customWidth="1"/>
    <col min="6" max="6" width="12.7109375" bestFit="1" customWidth="1"/>
  </cols>
  <sheetData>
    <row r="1" spans="1:7" ht="27.95" customHeight="1" x14ac:dyDescent="0.25">
      <c r="A1" s="9" t="s">
        <v>0</v>
      </c>
      <c r="B1" s="9" t="s">
        <v>102</v>
      </c>
      <c r="C1" s="9"/>
      <c r="D1" s="9"/>
      <c r="E1" s="9"/>
      <c r="F1" s="9"/>
      <c r="G1" s="9"/>
    </row>
    <row r="2" spans="1:7" ht="57.95" customHeight="1" x14ac:dyDescent="0.25">
      <c r="A2" s="8"/>
      <c r="B2" s="10" t="s">
        <v>23</v>
      </c>
      <c r="C2" s="10"/>
      <c r="D2" s="10" t="s">
        <v>105</v>
      </c>
      <c r="E2" s="10"/>
      <c r="F2" s="10" t="s">
        <v>25</v>
      </c>
      <c r="G2" s="10"/>
    </row>
    <row r="3" spans="1:7" ht="38.1" customHeight="1" x14ac:dyDescent="0.25">
      <c r="A3" s="8"/>
      <c r="B3" s="3" t="s">
        <v>100</v>
      </c>
      <c r="C3" s="3" t="s">
        <v>41</v>
      </c>
      <c r="D3" s="3" t="s">
        <v>100</v>
      </c>
      <c r="E3" s="3" t="s">
        <v>41</v>
      </c>
      <c r="F3" s="3" t="s">
        <v>100</v>
      </c>
      <c r="G3" s="3" t="s">
        <v>41</v>
      </c>
    </row>
    <row r="4" spans="1:7" x14ac:dyDescent="0.25">
      <c r="A4" t="s">
        <v>3</v>
      </c>
      <c r="B4" s="2">
        <v>2336155</v>
      </c>
      <c r="C4" s="2">
        <v>2336155</v>
      </c>
      <c r="D4" s="2">
        <v>0</v>
      </c>
      <c r="E4" s="2">
        <v>0</v>
      </c>
      <c r="F4" s="2">
        <v>0</v>
      </c>
      <c r="G4" s="2">
        <v>0</v>
      </c>
    </row>
    <row r="5" spans="1:7" x14ac:dyDescent="0.25">
      <c r="A5" s="4" t="s">
        <v>83</v>
      </c>
      <c r="B5" s="5">
        <f t="shared" ref="B5:E5" si="0">SUM(B4:B4)</f>
        <v>2336155</v>
      </c>
      <c r="C5" s="5">
        <f t="shared" si="0"/>
        <v>2336155</v>
      </c>
      <c r="D5" s="5">
        <f t="shared" si="0"/>
        <v>0</v>
      </c>
      <c r="E5" s="5">
        <f t="shared" si="0"/>
        <v>0</v>
      </c>
      <c r="F5" s="5">
        <f t="shared" ref="F5" si="1">SUM(F4:F4)</f>
        <v>0</v>
      </c>
      <c r="G5" s="5">
        <f t="shared" ref="G5" si="2">SUM(G4:G4)</f>
        <v>0</v>
      </c>
    </row>
  </sheetData>
  <mergeCells count="5">
    <mergeCell ref="F2:G2"/>
    <mergeCell ref="B1:G1"/>
    <mergeCell ref="A1:A3"/>
    <mergeCell ref="B2:C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7CBE-D70B-4D34-98F9-0C7926B4CA67}">
  <dimension ref="A1:K5"/>
  <sheetViews>
    <sheetView zoomScale="163" workbookViewId="0">
      <selection activeCell="D3" sqref="D1:D1048576"/>
    </sheetView>
  </sheetViews>
  <sheetFormatPr defaultRowHeight="15" x14ac:dyDescent="0.25"/>
  <cols>
    <col min="1" max="1" width="14" customWidth="1"/>
    <col min="2" max="11" width="16" customWidth="1"/>
  </cols>
  <sheetData>
    <row r="1" spans="1:11" ht="27.75" customHeight="1" x14ac:dyDescent="0.25">
      <c r="A1" s="9" t="s">
        <v>0</v>
      </c>
      <c r="B1" s="9" t="s">
        <v>102</v>
      </c>
      <c r="C1" s="8"/>
      <c r="D1" s="8"/>
      <c r="E1" s="8"/>
      <c r="F1" s="8"/>
      <c r="G1" s="8"/>
      <c r="H1" s="8"/>
      <c r="I1" s="8"/>
      <c r="J1" s="8"/>
      <c r="K1" s="8"/>
    </row>
    <row r="2" spans="1:11" ht="57.95" customHeight="1" x14ac:dyDescent="0.25">
      <c r="A2" s="8"/>
      <c r="B2" s="10" t="s">
        <v>103</v>
      </c>
      <c r="C2" s="10"/>
      <c r="D2" s="10"/>
      <c r="E2" s="10"/>
      <c r="F2" s="10"/>
      <c r="G2" s="10" t="s">
        <v>104</v>
      </c>
      <c r="H2" s="10"/>
      <c r="I2" s="10"/>
      <c r="J2" s="10"/>
      <c r="K2" s="10"/>
    </row>
    <row r="3" spans="1:11" ht="38.1" customHeight="1" x14ac:dyDescent="0.25">
      <c r="A3" s="8"/>
      <c r="B3" s="3" t="s">
        <v>100</v>
      </c>
      <c r="C3" s="3" t="s">
        <v>41</v>
      </c>
      <c r="D3" s="3" t="s">
        <v>42</v>
      </c>
      <c r="E3" s="3" t="s">
        <v>43</v>
      </c>
      <c r="F3" s="3" t="s">
        <v>12</v>
      </c>
      <c r="G3" s="3" t="s">
        <v>100</v>
      </c>
      <c r="H3" s="3" t="s">
        <v>41</v>
      </c>
      <c r="I3" s="3" t="s">
        <v>42</v>
      </c>
      <c r="J3" s="3" t="s">
        <v>43</v>
      </c>
      <c r="K3" s="3" t="s">
        <v>12</v>
      </c>
    </row>
    <row r="4" spans="1:11" x14ac:dyDescent="0.25">
      <c r="A4" t="s">
        <v>3</v>
      </c>
      <c r="B4" s="2">
        <v>2336155</v>
      </c>
      <c r="C4" s="2">
        <v>2336155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/>
    </row>
    <row r="5" spans="1:11" x14ac:dyDescent="0.25">
      <c r="A5" s="4" t="s">
        <v>83</v>
      </c>
      <c r="B5" s="5">
        <f t="shared" ref="B5:J5" si="0">SUM(B4:B4)</f>
        <v>2336155</v>
      </c>
      <c r="C5" s="5">
        <f t="shared" si="0"/>
        <v>2336155</v>
      </c>
      <c r="D5" s="5">
        <f t="shared" si="0"/>
        <v>0</v>
      </c>
      <c r="E5" s="5">
        <f t="shared" si="0"/>
        <v>0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/>
    </row>
  </sheetData>
  <mergeCells count="4">
    <mergeCell ref="A1:A3"/>
    <mergeCell ref="B1:K1"/>
    <mergeCell ref="B2:F2"/>
    <mergeCell ref="G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5"/>
  <sheetViews>
    <sheetView workbookViewId="0">
      <pane xSplit="1" ySplit="3" topLeftCell="AB4" activePane="bottomRight" state="frozen"/>
      <selection pane="topRight"/>
      <selection pane="bottomLeft"/>
      <selection pane="bottomRight" activeCell="H29" sqref="H29"/>
    </sheetView>
  </sheetViews>
  <sheetFormatPr defaultRowHeight="15" x14ac:dyDescent="0.25"/>
  <cols>
    <col min="1" max="1" width="14" customWidth="1"/>
    <col min="2" max="41" width="16" customWidth="1"/>
  </cols>
  <sheetData>
    <row r="1" spans="1:41" ht="27.95" customHeight="1" x14ac:dyDescent="0.25">
      <c r="A1" s="9" t="s">
        <v>0</v>
      </c>
      <c r="B1" s="9" t="s">
        <v>80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9" t="s">
        <v>81</v>
      </c>
      <c r="W1" s="8"/>
      <c r="X1" s="8"/>
      <c r="Y1" s="8"/>
      <c r="Z1" s="8"/>
      <c r="AA1" s="8"/>
      <c r="AB1" s="8"/>
      <c r="AC1" s="8"/>
      <c r="AD1" s="9" t="s">
        <v>66</v>
      </c>
      <c r="AE1" s="8"/>
      <c r="AF1" s="8"/>
      <c r="AG1" s="8"/>
      <c r="AH1" s="9" t="s">
        <v>82</v>
      </c>
      <c r="AI1" s="8"/>
      <c r="AJ1" s="8"/>
      <c r="AK1" s="8"/>
      <c r="AL1" s="8"/>
      <c r="AM1" s="8"/>
      <c r="AN1" s="8"/>
      <c r="AO1" s="8"/>
    </row>
    <row r="2" spans="1:41" ht="57.95" customHeight="1" x14ac:dyDescent="0.25">
      <c r="A2" s="8"/>
      <c r="B2" s="7" t="s">
        <v>53</v>
      </c>
      <c r="C2" s="8"/>
      <c r="D2" s="8"/>
      <c r="E2" s="8"/>
      <c r="F2" s="7" t="s">
        <v>55</v>
      </c>
      <c r="G2" s="8"/>
      <c r="H2" s="8"/>
      <c r="I2" s="8"/>
      <c r="J2" s="7" t="s">
        <v>56</v>
      </c>
      <c r="K2" s="8"/>
      <c r="L2" s="8"/>
      <c r="M2" s="8"/>
      <c r="N2" s="7" t="s">
        <v>58</v>
      </c>
      <c r="O2" s="8"/>
      <c r="P2" s="8"/>
      <c r="Q2" s="8"/>
      <c r="R2" s="7" t="s">
        <v>59</v>
      </c>
      <c r="S2" s="8"/>
      <c r="T2" s="8"/>
      <c r="U2" s="8"/>
      <c r="V2" s="7" t="s">
        <v>62</v>
      </c>
      <c r="W2" s="8"/>
      <c r="X2" s="8"/>
      <c r="Y2" s="8"/>
      <c r="Z2" s="7" t="s">
        <v>63</v>
      </c>
      <c r="AA2" s="8"/>
      <c r="AB2" s="8"/>
      <c r="AC2" s="8"/>
      <c r="AD2" s="7" t="s">
        <v>66</v>
      </c>
      <c r="AE2" s="8"/>
      <c r="AF2" s="8"/>
      <c r="AG2" s="8"/>
      <c r="AH2" s="7" t="s">
        <v>71</v>
      </c>
      <c r="AI2" s="8"/>
      <c r="AJ2" s="8"/>
      <c r="AK2" s="8"/>
      <c r="AL2" s="7" t="s">
        <v>73</v>
      </c>
      <c r="AM2" s="8"/>
      <c r="AN2" s="8"/>
      <c r="AO2" s="8"/>
    </row>
    <row r="3" spans="1:41" ht="38.1" customHeight="1" x14ac:dyDescent="0.25">
      <c r="A3" s="8"/>
      <c r="B3" s="3" t="s">
        <v>41</v>
      </c>
      <c r="C3" s="3" t="s">
        <v>42</v>
      </c>
      <c r="D3" s="3" t="s">
        <v>43</v>
      </c>
      <c r="E3" s="3" t="s">
        <v>12</v>
      </c>
      <c r="F3" s="3" t="s">
        <v>41</v>
      </c>
      <c r="G3" s="3" t="s">
        <v>42</v>
      </c>
      <c r="H3" s="3" t="s">
        <v>43</v>
      </c>
      <c r="I3" s="3" t="s">
        <v>12</v>
      </c>
      <c r="J3" s="3" t="s">
        <v>41</v>
      </c>
      <c r="K3" s="3" t="s">
        <v>42</v>
      </c>
      <c r="L3" s="3" t="s">
        <v>43</v>
      </c>
      <c r="M3" s="3" t="s">
        <v>12</v>
      </c>
      <c r="N3" s="3" t="s">
        <v>41</v>
      </c>
      <c r="O3" s="3" t="s">
        <v>42</v>
      </c>
      <c r="P3" s="3" t="s">
        <v>43</v>
      </c>
      <c r="Q3" s="3" t="s">
        <v>12</v>
      </c>
      <c r="R3" s="3" t="s">
        <v>41</v>
      </c>
      <c r="S3" s="3" t="s">
        <v>42</v>
      </c>
      <c r="T3" s="3" t="s">
        <v>43</v>
      </c>
      <c r="U3" s="3" t="s">
        <v>12</v>
      </c>
      <c r="V3" s="3" t="s">
        <v>41</v>
      </c>
      <c r="W3" s="3" t="s">
        <v>42</v>
      </c>
      <c r="X3" s="3" t="s">
        <v>43</v>
      </c>
      <c r="Y3" s="3" t="s">
        <v>12</v>
      </c>
      <c r="Z3" s="3" t="s">
        <v>41</v>
      </c>
      <c r="AA3" s="3" t="s">
        <v>42</v>
      </c>
      <c r="AB3" s="3" t="s">
        <v>43</v>
      </c>
      <c r="AC3" s="3" t="s">
        <v>12</v>
      </c>
      <c r="AD3" s="3" t="s">
        <v>41</v>
      </c>
      <c r="AE3" s="3" t="s">
        <v>42</v>
      </c>
      <c r="AF3" s="3" t="s">
        <v>43</v>
      </c>
      <c r="AG3" s="3" t="s">
        <v>12</v>
      </c>
      <c r="AH3" s="3" t="s">
        <v>41</v>
      </c>
      <c r="AI3" s="3" t="s">
        <v>42</v>
      </c>
      <c r="AJ3" s="3" t="s">
        <v>43</v>
      </c>
      <c r="AK3" s="3" t="s">
        <v>12</v>
      </c>
      <c r="AL3" s="3" t="s">
        <v>41</v>
      </c>
      <c r="AM3" s="3" t="s">
        <v>42</v>
      </c>
      <c r="AN3" s="3" t="s">
        <v>43</v>
      </c>
      <c r="AO3" s="3" t="s">
        <v>12</v>
      </c>
    </row>
    <row r="4" spans="1:41" x14ac:dyDescent="0.25">
      <c r="A4" t="s">
        <v>3</v>
      </c>
      <c r="B4" s="2">
        <v>2336155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434600</v>
      </c>
      <c r="K4" s="2">
        <v>33490</v>
      </c>
      <c r="L4" s="2">
        <v>33490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6141030</v>
      </c>
      <c r="S4" s="2">
        <v>3316575</v>
      </c>
      <c r="T4" s="2">
        <v>3316575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1535901</v>
      </c>
      <c r="AA4" s="2">
        <v>346912</v>
      </c>
      <c r="AB4" s="2">
        <v>346912</v>
      </c>
      <c r="AC4" s="2">
        <v>0</v>
      </c>
      <c r="AD4" s="2">
        <v>7375884</v>
      </c>
      <c r="AE4" s="2">
        <v>3003153</v>
      </c>
      <c r="AF4" s="2">
        <v>3003153</v>
      </c>
      <c r="AG4" s="2">
        <v>0</v>
      </c>
      <c r="AH4" s="2">
        <v>2977185</v>
      </c>
      <c r="AI4" s="2">
        <v>48194</v>
      </c>
      <c r="AJ4" s="2">
        <v>48194</v>
      </c>
      <c r="AK4" s="2">
        <v>0</v>
      </c>
      <c r="AL4" s="2">
        <v>0</v>
      </c>
      <c r="AM4" s="2">
        <v>456870</v>
      </c>
      <c r="AN4" s="2">
        <v>456870</v>
      </c>
      <c r="AO4" s="2">
        <v>0</v>
      </c>
    </row>
    <row r="5" spans="1:41" x14ac:dyDescent="0.25">
      <c r="A5" s="4" t="s">
        <v>83</v>
      </c>
      <c r="B5" s="5">
        <f t="shared" ref="B5:AO5" si="0">SUM(B4:B4)</f>
        <v>2336155</v>
      </c>
      <c r="C5" s="5">
        <f t="shared" si="0"/>
        <v>0</v>
      </c>
      <c r="D5" s="5">
        <f t="shared" si="0"/>
        <v>0</v>
      </c>
      <c r="E5" s="5">
        <f t="shared" si="0"/>
        <v>0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434600</v>
      </c>
      <c r="K5" s="5">
        <f t="shared" si="0"/>
        <v>33490</v>
      </c>
      <c r="L5" s="5">
        <f t="shared" si="0"/>
        <v>33490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6141030</v>
      </c>
      <c r="S5" s="5">
        <f t="shared" si="0"/>
        <v>3316575</v>
      </c>
      <c r="T5" s="5">
        <f t="shared" si="0"/>
        <v>3316575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f t="shared" si="0"/>
        <v>0</v>
      </c>
      <c r="Y5" s="5">
        <f t="shared" si="0"/>
        <v>0</v>
      </c>
      <c r="Z5" s="5">
        <f t="shared" si="0"/>
        <v>1535901</v>
      </c>
      <c r="AA5" s="5">
        <f t="shared" si="0"/>
        <v>346912</v>
      </c>
      <c r="AB5" s="5">
        <f t="shared" si="0"/>
        <v>346912</v>
      </c>
      <c r="AC5" s="5">
        <f t="shared" si="0"/>
        <v>0</v>
      </c>
      <c r="AD5" s="5">
        <f t="shared" si="0"/>
        <v>7375884</v>
      </c>
      <c r="AE5" s="5">
        <f t="shared" si="0"/>
        <v>3003153</v>
      </c>
      <c r="AF5" s="5">
        <f t="shared" si="0"/>
        <v>3003153</v>
      </c>
      <c r="AG5" s="5">
        <f t="shared" si="0"/>
        <v>0</v>
      </c>
      <c r="AH5" s="5">
        <f t="shared" si="0"/>
        <v>2977185</v>
      </c>
      <c r="AI5" s="5">
        <f t="shared" si="0"/>
        <v>48194</v>
      </c>
      <c r="AJ5" s="5">
        <f t="shared" si="0"/>
        <v>48194</v>
      </c>
      <c r="AK5" s="5">
        <f t="shared" si="0"/>
        <v>0</v>
      </c>
      <c r="AL5" s="5">
        <f t="shared" si="0"/>
        <v>0</v>
      </c>
      <c r="AM5" s="5">
        <f t="shared" si="0"/>
        <v>456870</v>
      </c>
      <c r="AN5" s="5">
        <f t="shared" si="0"/>
        <v>456870</v>
      </c>
      <c r="AO5" s="5">
        <f t="shared" si="0"/>
        <v>0</v>
      </c>
    </row>
  </sheetData>
  <autoFilter ref="A3:AO5" xr:uid="{00000000-0009-0000-0000-000005000000}"/>
  <mergeCells count="15">
    <mergeCell ref="AL2:AO2"/>
    <mergeCell ref="A1:A3"/>
    <mergeCell ref="B1:U1"/>
    <mergeCell ref="F2:I2"/>
    <mergeCell ref="V1:AC1"/>
    <mergeCell ref="AH2:AK2"/>
    <mergeCell ref="V2:Y2"/>
    <mergeCell ref="Z2:AC2"/>
    <mergeCell ref="J2:M2"/>
    <mergeCell ref="B2:E2"/>
    <mergeCell ref="N2:Q2"/>
    <mergeCell ref="AD2:AG2"/>
    <mergeCell ref="R2:U2"/>
    <mergeCell ref="AD1:AG1"/>
    <mergeCell ref="AH1:A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0" customWidth="1"/>
    <col min="3" max="3" width="12" customWidth="1"/>
    <col min="4" max="4" width="25" customWidth="1"/>
    <col min="5" max="5" width="62" customWidth="1"/>
    <col min="6" max="6" width="18" customWidth="1"/>
    <col min="7" max="10" width="16" customWidth="1"/>
    <col min="11" max="11" width="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25">
      <c r="A2" t="s">
        <v>3</v>
      </c>
      <c r="B2" t="s">
        <v>4</v>
      </c>
      <c r="C2" t="s">
        <v>5</v>
      </c>
      <c r="D2" t="s">
        <v>14</v>
      </c>
      <c r="E2" t="s">
        <v>15</v>
      </c>
      <c r="F2" s="2">
        <v>110945090.51000001</v>
      </c>
      <c r="G2" s="2">
        <v>15764952.539999999</v>
      </c>
      <c r="H2" s="2">
        <v>1965470.14</v>
      </c>
      <c r="I2" s="2">
        <v>1965470.14</v>
      </c>
      <c r="J2" s="2">
        <v>0</v>
      </c>
      <c r="K2">
        <v>1</v>
      </c>
    </row>
    <row r="3" spans="1:11" x14ac:dyDescent="0.25">
      <c r="A3" t="s">
        <v>3</v>
      </c>
      <c r="B3" t="s">
        <v>4</v>
      </c>
      <c r="C3" t="s">
        <v>5</v>
      </c>
      <c r="D3" t="s">
        <v>14</v>
      </c>
      <c r="E3" t="s">
        <v>16</v>
      </c>
      <c r="F3" s="2">
        <v>8243111.1299999999</v>
      </c>
      <c r="G3" s="2">
        <v>0</v>
      </c>
      <c r="H3" s="2">
        <v>0</v>
      </c>
      <c r="I3" s="2">
        <v>0</v>
      </c>
      <c r="J3" s="2">
        <v>0</v>
      </c>
      <c r="K3">
        <v>1</v>
      </c>
    </row>
    <row r="4" spans="1:11" x14ac:dyDescent="0.25">
      <c r="A4" t="s">
        <v>3</v>
      </c>
      <c r="B4" t="s">
        <v>4</v>
      </c>
      <c r="C4" t="s">
        <v>5</v>
      </c>
      <c r="D4" t="s">
        <v>14</v>
      </c>
      <c r="E4" t="s">
        <v>17</v>
      </c>
      <c r="F4" s="2">
        <v>3664332</v>
      </c>
      <c r="G4" s="2">
        <v>434600</v>
      </c>
      <c r="H4" s="2">
        <v>35485</v>
      </c>
      <c r="I4" s="2">
        <v>35485</v>
      </c>
      <c r="J4" s="2">
        <v>0</v>
      </c>
      <c r="K4">
        <v>1</v>
      </c>
    </row>
    <row r="5" spans="1:11" x14ac:dyDescent="0.25">
      <c r="A5" t="s">
        <v>3</v>
      </c>
      <c r="B5" t="s">
        <v>4</v>
      </c>
      <c r="C5" t="s">
        <v>5</v>
      </c>
      <c r="D5" t="s">
        <v>14</v>
      </c>
      <c r="E5" t="s">
        <v>18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>
        <v>1</v>
      </c>
    </row>
    <row r="6" spans="1:11" x14ac:dyDescent="0.25">
      <c r="A6" t="s">
        <v>3</v>
      </c>
      <c r="B6" t="s">
        <v>4</v>
      </c>
      <c r="C6" t="s">
        <v>5</v>
      </c>
      <c r="D6" t="s">
        <v>19</v>
      </c>
      <c r="E6" t="s">
        <v>20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>
        <v>1</v>
      </c>
    </row>
    <row r="7" spans="1:11" x14ac:dyDescent="0.25">
      <c r="A7" t="s">
        <v>3</v>
      </c>
      <c r="B7" t="s">
        <v>4</v>
      </c>
      <c r="C7" t="s">
        <v>5</v>
      </c>
      <c r="D7" t="s">
        <v>19</v>
      </c>
      <c r="E7" t="s">
        <v>21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>
        <v>1</v>
      </c>
    </row>
    <row r="8" spans="1:11" x14ac:dyDescent="0.25">
      <c r="A8" t="s">
        <v>3</v>
      </c>
      <c r="B8" t="s">
        <v>4</v>
      </c>
      <c r="C8" t="s">
        <v>5</v>
      </c>
      <c r="D8" t="s">
        <v>22</v>
      </c>
      <c r="E8" t="s">
        <v>23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>
        <v>1</v>
      </c>
    </row>
    <row r="9" spans="1:11" x14ac:dyDescent="0.25">
      <c r="A9" t="s">
        <v>3</v>
      </c>
      <c r="B9" t="s">
        <v>4</v>
      </c>
      <c r="C9" t="s">
        <v>5</v>
      </c>
      <c r="D9" t="s">
        <v>22</v>
      </c>
      <c r="E9" t="s">
        <v>24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>
        <v>1</v>
      </c>
    </row>
    <row r="10" spans="1:11" x14ac:dyDescent="0.25">
      <c r="A10" t="s">
        <v>3</v>
      </c>
      <c r="B10" t="s">
        <v>4</v>
      </c>
      <c r="C10" t="s">
        <v>5</v>
      </c>
      <c r="D10" t="s">
        <v>22</v>
      </c>
      <c r="E10" t="s">
        <v>25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>
        <v>1</v>
      </c>
    </row>
    <row r="11" spans="1:11" x14ac:dyDescent="0.25">
      <c r="A11" t="s">
        <v>3</v>
      </c>
      <c r="B11" t="s">
        <v>4</v>
      </c>
      <c r="C11" t="s">
        <v>5</v>
      </c>
      <c r="D11" t="s">
        <v>26</v>
      </c>
      <c r="E11" t="s">
        <v>27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>
        <v>2</v>
      </c>
    </row>
    <row r="12" spans="1:11" x14ac:dyDescent="0.25">
      <c r="A12" t="s">
        <v>3</v>
      </c>
      <c r="B12" t="s">
        <v>4</v>
      </c>
      <c r="C12" t="s">
        <v>5</v>
      </c>
      <c r="D12" t="s">
        <v>26</v>
      </c>
      <c r="E12" t="s">
        <v>28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>
        <v>2</v>
      </c>
    </row>
  </sheetData>
  <autoFilter ref="A1:K12" xr:uid="{00000000-0009-0000-0000-000001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"/>
  <sheetViews>
    <sheetView tabSelected="1" workbookViewId="0">
      <pane ySplit="1" topLeftCell="A2" activePane="bottomLeft" state="frozen"/>
      <selection pane="bottomLeft" activeCell="G29" sqref="G29"/>
    </sheetView>
  </sheetViews>
  <sheetFormatPr defaultRowHeight="15" x14ac:dyDescent="0.25"/>
  <cols>
    <col min="1" max="3" width="19" customWidth="1"/>
    <col min="4" max="4" width="34" customWidth="1"/>
    <col min="5" max="5" width="20" customWidth="1"/>
    <col min="6" max="16" width="19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13</v>
      </c>
    </row>
    <row r="2" spans="1:16" x14ac:dyDescent="0.25">
      <c r="A2" t="s">
        <v>3</v>
      </c>
      <c r="B2" t="s">
        <v>4</v>
      </c>
      <c r="C2" t="s">
        <v>5</v>
      </c>
      <c r="D2" t="s">
        <v>40</v>
      </c>
      <c r="E2" t="s">
        <v>41</v>
      </c>
      <c r="F2" s="2">
        <v>15764953</v>
      </c>
      <c r="G2" s="2">
        <v>0</v>
      </c>
      <c r="H2" s="2">
        <v>15764953</v>
      </c>
      <c r="I2" s="2">
        <v>7375884</v>
      </c>
      <c r="J2" s="2">
        <v>1037683</v>
      </c>
      <c r="K2" s="2">
        <v>1037683</v>
      </c>
      <c r="L2" s="2">
        <v>0</v>
      </c>
      <c r="M2" s="2">
        <v>6313703</v>
      </c>
      <c r="N2" s="2">
        <v>0</v>
      </c>
      <c r="O2" s="2">
        <v>0</v>
      </c>
      <c r="P2">
        <v>2</v>
      </c>
    </row>
    <row r="3" spans="1:16" x14ac:dyDescent="0.25">
      <c r="A3" t="s">
        <v>3</v>
      </c>
      <c r="B3" t="s">
        <v>4</v>
      </c>
      <c r="C3" t="s">
        <v>5</v>
      </c>
      <c r="D3" t="s">
        <v>40</v>
      </c>
      <c r="E3" t="s">
        <v>42</v>
      </c>
      <c r="F3" s="2">
        <v>1965470</v>
      </c>
      <c r="G3" s="2">
        <v>0</v>
      </c>
      <c r="H3" s="2">
        <v>1965470</v>
      </c>
      <c r="I3" s="2">
        <v>0</v>
      </c>
      <c r="J3" s="2">
        <v>1965470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>
        <v>2</v>
      </c>
    </row>
    <row r="4" spans="1:16" x14ac:dyDescent="0.25">
      <c r="A4" t="s">
        <v>3</v>
      </c>
      <c r="B4" t="s">
        <v>4</v>
      </c>
      <c r="C4" t="s">
        <v>5</v>
      </c>
      <c r="D4" t="s">
        <v>40</v>
      </c>
      <c r="E4" t="s">
        <v>43</v>
      </c>
      <c r="F4" s="2">
        <v>1965470</v>
      </c>
      <c r="G4" s="2">
        <v>0</v>
      </c>
      <c r="H4" s="2">
        <v>1965470</v>
      </c>
      <c r="I4" s="2">
        <v>0</v>
      </c>
      <c r="J4" s="2">
        <v>0</v>
      </c>
      <c r="K4" s="2">
        <v>1965470</v>
      </c>
      <c r="L4" s="2">
        <v>0</v>
      </c>
      <c r="M4" s="2">
        <v>0</v>
      </c>
      <c r="N4" s="2">
        <v>0</v>
      </c>
      <c r="O4" s="2">
        <v>0</v>
      </c>
      <c r="P4">
        <v>2</v>
      </c>
    </row>
    <row r="5" spans="1:16" x14ac:dyDescent="0.25">
      <c r="A5" t="s">
        <v>3</v>
      </c>
      <c r="B5" t="s">
        <v>4</v>
      </c>
      <c r="C5" t="s">
        <v>5</v>
      </c>
      <c r="D5" t="s">
        <v>40</v>
      </c>
      <c r="E5" t="s">
        <v>12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>
        <v>2</v>
      </c>
    </row>
    <row r="6" spans="1:16" x14ac:dyDescent="0.25">
      <c r="A6" t="s">
        <v>3</v>
      </c>
      <c r="B6" t="s">
        <v>4</v>
      </c>
      <c r="C6" t="s">
        <v>5</v>
      </c>
      <c r="D6" t="s">
        <v>44</v>
      </c>
      <c r="E6" t="s">
        <v>41</v>
      </c>
      <c r="F6" s="2">
        <v>434600</v>
      </c>
      <c r="G6" s="2">
        <v>0</v>
      </c>
      <c r="H6" s="2">
        <v>434600</v>
      </c>
      <c r="I6" s="2">
        <v>0</v>
      </c>
      <c r="J6" s="2">
        <v>0</v>
      </c>
      <c r="K6" s="2">
        <v>0</v>
      </c>
      <c r="L6" s="2">
        <v>0</v>
      </c>
      <c r="M6" s="2">
        <v>434600</v>
      </c>
      <c r="N6" s="2">
        <v>0</v>
      </c>
      <c r="O6" s="2">
        <v>0</v>
      </c>
      <c r="P6">
        <v>2</v>
      </c>
    </row>
    <row r="7" spans="1:16" x14ac:dyDescent="0.25">
      <c r="A7" t="s">
        <v>3</v>
      </c>
      <c r="B7" t="s">
        <v>4</v>
      </c>
      <c r="C7" t="s">
        <v>5</v>
      </c>
      <c r="D7" t="s">
        <v>44</v>
      </c>
      <c r="E7" t="s">
        <v>42</v>
      </c>
      <c r="F7" s="2">
        <v>35485</v>
      </c>
      <c r="G7" s="2">
        <v>0</v>
      </c>
      <c r="H7" s="2">
        <v>35485</v>
      </c>
      <c r="I7" s="2">
        <v>0</v>
      </c>
      <c r="J7" s="2">
        <v>0</v>
      </c>
      <c r="K7" s="2">
        <v>0</v>
      </c>
      <c r="L7" s="2">
        <v>0</v>
      </c>
      <c r="M7" s="2">
        <v>35485</v>
      </c>
      <c r="N7" s="2">
        <v>0</v>
      </c>
      <c r="O7" s="2">
        <v>0</v>
      </c>
      <c r="P7">
        <v>2</v>
      </c>
    </row>
    <row r="8" spans="1:16" x14ac:dyDescent="0.25">
      <c r="A8" t="s">
        <v>3</v>
      </c>
      <c r="B8" t="s">
        <v>4</v>
      </c>
      <c r="C8" t="s">
        <v>5</v>
      </c>
      <c r="D8" t="s">
        <v>44</v>
      </c>
      <c r="E8" t="s">
        <v>43</v>
      </c>
      <c r="F8" s="2">
        <v>35485</v>
      </c>
      <c r="G8" s="2">
        <v>0</v>
      </c>
      <c r="H8" s="2">
        <v>35485</v>
      </c>
      <c r="I8" s="2">
        <v>0</v>
      </c>
      <c r="J8" s="2">
        <v>0</v>
      </c>
      <c r="K8" s="2">
        <v>0</v>
      </c>
      <c r="L8" s="2">
        <v>0</v>
      </c>
      <c r="M8" s="2">
        <v>35485</v>
      </c>
      <c r="N8" s="2">
        <v>0</v>
      </c>
      <c r="O8" s="2">
        <v>0</v>
      </c>
      <c r="P8">
        <v>2</v>
      </c>
    </row>
    <row r="9" spans="1:16" x14ac:dyDescent="0.25">
      <c r="A9" t="s">
        <v>3</v>
      </c>
      <c r="B9" t="s">
        <v>4</v>
      </c>
      <c r="C9" t="s">
        <v>5</v>
      </c>
      <c r="D9" t="s">
        <v>44</v>
      </c>
      <c r="E9" t="s">
        <v>12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>
        <v>2</v>
      </c>
    </row>
  </sheetData>
  <autoFilter ref="A1:P9" xr:uid="{00000000-0009-0000-0000-000002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0" customWidth="1"/>
    <col min="3" max="3" width="12" customWidth="1"/>
    <col min="4" max="4" width="42" customWidth="1"/>
    <col min="5" max="5" width="8" customWidth="1"/>
    <col min="6" max="6" width="34" customWidth="1"/>
    <col min="7" max="7" width="58" customWidth="1"/>
    <col min="8" max="8" width="7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45</v>
      </c>
      <c r="E1" s="1" t="s">
        <v>13</v>
      </c>
      <c r="F1" s="1" t="s">
        <v>6</v>
      </c>
      <c r="G1" s="1" t="s">
        <v>7</v>
      </c>
      <c r="H1" s="1" t="s">
        <v>46</v>
      </c>
    </row>
    <row r="2" spans="1:8" x14ac:dyDescent="0.25">
      <c r="A2" t="s">
        <v>3</v>
      </c>
      <c r="B2" t="s">
        <v>4</v>
      </c>
      <c r="C2" t="s">
        <v>5</v>
      </c>
      <c r="D2" t="s">
        <v>47</v>
      </c>
      <c r="E2">
        <v>1</v>
      </c>
      <c r="F2" t="s">
        <v>14</v>
      </c>
      <c r="G2" t="s">
        <v>15</v>
      </c>
      <c r="H2" t="s">
        <v>48</v>
      </c>
    </row>
    <row r="3" spans="1:8" x14ac:dyDescent="0.25">
      <c r="A3" t="s">
        <v>3</v>
      </c>
      <c r="B3" t="s">
        <v>4</v>
      </c>
      <c r="C3" t="s">
        <v>5</v>
      </c>
      <c r="D3" t="s">
        <v>47</v>
      </c>
      <c r="E3">
        <v>1</v>
      </c>
      <c r="F3" t="s">
        <v>14</v>
      </c>
      <c r="G3" t="s">
        <v>16</v>
      </c>
      <c r="H3" t="s">
        <v>49</v>
      </c>
    </row>
    <row r="4" spans="1:8" x14ac:dyDescent="0.25">
      <c r="A4" t="s">
        <v>3</v>
      </c>
      <c r="B4" t="s">
        <v>4</v>
      </c>
      <c r="C4" t="s">
        <v>5</v>
      </c>
      <c r="D4" t="s">
        <v>47</v>
      </c>
      <c r="E4">
        <v>1</v>
      </c>
      <c r="F4" t="s">
        <v>14</v>
      </c>
      <c r="G4" t="s">
        <v>17</v>
      </c>
      <c r="H4" t="s">
        <v>50</v>
      </c>
    </row>
    <row r="5" spans="1:8" x14ac:dyDescent="0.25">
      <c r="A5" t="s">
        <v>3</v>
      </c>
      <c r="B5" t="s">
        <v>4</v>
      </c>
      <c r="C5" t="s">
        <v>5</v>
      </c>
      <c r="D5" t="s">
        <v>47</v>
      </c>
      <c r="E5">
        <v>1</v>
      </c>
      <c r="F5" t="s">
        <v>14</v>
      </c>
      <c r="G5" t="s">
        <v>18</v>
      </c>
      <c r="H5" t="s">
        <v>51</v>
      </c>
    </row>
    <row r="6" spans="1:8" x14ac:dyDescent="0.25">
      <c r="A6" t="s">
        <v>3</v>
      </c>
      <c r="B6" t="s">
        <v>4</v>
      </c>
      <c r="C6" t="s">
        <v>5</v>
      </c>
      <c r="D6" t="s">
        <v>47</v>
      </c>
      <c r="E6">
        <v>1</v>
      </c>
      <c r="F6" t="s">
        <v>19</v>
      </c>
      <c r="G6" t="s">
        <v>20</v>
      </c>
      <c r="H6" t="s">
        <v>51</v>
      </c>
    </row>
    <row r="7" spans="1:8" x14ac:dyDescent="0.25">
      <c r="A7" t="s">
        <v>3</v>
      </c>
      <c r="B7" t="s">
        <v>4</v>
      </c>
      <c r="C7" t="s">
        <v>5</v>
      </c>
      <c r="D7" t="s">
        <v>47</v>
      </c>
      <c r="E7">
        <v>1</v>
      </c>
      <c r="F7" t="s">
        <v>19</v>
      </c>
      <c r="G7" t="s">
        <v>21</v>
      </c>
      <c r="H7" t="s">
        <v>51</v>
      </c>
    </row>
    <row r="8" spans="1:8" x14ac:dyDescent="0.25">
      <c r="A8" t="s">
        <v>3</v>
      </c>
      <c r="B8" t="s">
        <v>4</v>
      </c>
      <c r="C8" t="s">
        <v>5</v>
      </c>
      <c r="D8" t="s">
        <v>47</v>
      </c>
      <c r="E8">
        <v>1</v>
      </c>
      <c r="F8" t="s">
        <v>22</v>
      </c>
      <c r="G8" t="s">
        <v>23</v>
      </c>
      <c r="H8" t="s">
        <v>51</v>
      </c>
    </row>
    <row r="9" spans="1:8" x14ac:dyDescent="0.25">
      <c r="A9" t="s">
        <v>3</v>
      </c>
      <c r="B9" t="s">
        <v>4</v>
      </c>
      <c r="C9" t="s">
        <v>5</v>
      </c>
      <c r="D9" t="s">
        <v>47</v>
      </c>
      <c r="E9">
        <v>1</v>
      </c>
      <c r="F9" t="s">
        <v>22</v>
      </c>
      <c r="G9" t="s">
        <v>24</v>
      </c>
      <c r="H9" t="s">
        <v>51</v>
      </c>
    </row>
    <row r="10" spans="1:8" x14ac:dyDescent="0.25">
      <c r="A10" t="s">
        <v>3</v>
      </c>
      <c r="B10" t="s">
        <v>4</v>
      </c>
      <c r="C10" t="s">
        <v>5</v>
      </c>
      <c r="D10" t="s">
        <v>47</v>
      </c>
      <c r="E10">
        <v>1</v>
      </c>
      <c r="F10" t="s">
        <v>22</v>
      </c>
      <c r="G10" t="s">
        <v>25</v>
      </c>
      <c r="H10" t="s">
        <v>51</v>
      </c>
    </row>
    <row r="11" spans="1:8" x14ac:dyDescent="0.25">
      <c r="A11" t="s">
        <v>3</v>
      </c>
      <c r="B11" t="s">
        <v>4</v>
      </c>
      <c r="C11" t="s">
        <v>5</v>
      </c>
      <c r="D11" t="s">
        <v>47</v>
      </c>
      <c r="E11">
        <v>1</v>
      </c>
      <c r="F11" t="s">
        <v>52</v>
      </c>
      <c r="G11" t="s">
        <v>53</v>
      </c>
      <c r="H11" t="s">
        <v>54</v>
      </c>
    </row>
    <row r="12" spans="1:8" x14ac:dyDescent="0.25">
      <c r="A12" t="s">
        <v>3</v>
      </c>
      <c r="B12" t="s">
        <v>4</v>
      </c>
      <c r="C12" t="s">
        <v>5</v>
      </c>
      <c r="D12" t="s">
        <v>47</v>
      </c>
      <c r="E12">
        <v>1</v>
      </c>
      <c r="F12" t="s">
        <v>52</v>
      </c>
      <c r="G12" t="s">
        <v>55</v>
      </c>
      <c r="H12" t="s">
        <v>51</v>
      </c>
    </row>
    <row r="13" spans="1:8" x14ac:dyDescent="0.25">
      <c r="A13" t="s">
        <v>3</v>
      </c>
      <c r="B13" t="s">
        <v>4</v>
      </c>
      <c r="C13" t="s">
        <v>5</v>
      </c>
      <c r="D13" t="s">
        <v>47</v>
      </c>
      <c r="E13">
        <v>1</v>
      </c>
      <c r="F13" t="s">
        <v>52</v>
      </c>
      <c r="G13" t="s">
        <v>56</v>
      </c>
      <c r="H13" t="s">
        <v>57</v>
      </c>
    </row>
    <row r="14" spans="1:8" x14ac:dyDescent="0.25">
      <c r="A14" t="s">
        <v>3</v>
      </c>
      <c r="B14" t="s">
        <v>4</v>
      </c>
      <c r="C14" t="s">
        <v>5</v>
      </c>
      <c r="D14" t="s">
        <v>47</v>
      </c>
      <c r="E14">
        <v>2</v>
      </c>
      <c r="F14" t="s">
        <v>52</v>
      </c>
      <c r="G14" t="s">
        <v>58</v>
      </c>
      <c r="H14" t="s">
        <v>51</v>
      </c>
    </row>
    <row r="15" spans="1:8" x14ac:dyDescent="0.25">
      <c r="A15" t="s">
        <v>3</v>
      </c>
      <c r="B15" t="s">
        <v>4</v>
      </c>
      <c r="C15" t="s">
        <v>5</v>
      </c>
      <c r="D15" t="s">
        <v>47</v>
      </c>
      <c r="E15">
        <v>2</v>
      </c>
      <c r="F15" t="s">
        <v>52</v>
      </c>
      <c r="G15" t="s">
        <v>59</v>
      </c>
      <c r="H15" t="s">
        <v>60</v>
      </c>
    </row>
    <row r="16" spans="1:8" x14ac:dyDescent="0.25">
      <c r="A16" t="s">
        <v>3</v>
      </c>
      <c r="B16" t="s">
        <v>4</v>
      </c>
      <c r="C16" t="s">
        <v>5</v>
      </c>
      <c r="D16" t="s">
        <v>47</v>
      </c>
      <c r="E16">
        <v>2</v>
      </c>
      <c r="F16" t="s">
        <v>61</v>
      </c>
      <c r="G16" t="s">
        <v>62</v>
      </c>
      <c r="H16" t="s">
        <v>51</v>
      </c>
    </row>
    <row r="17" spans="1:8" x14ac:dyDescent="0.25">
      <c r="A17" t="s">
        <v>3</v>
      </c>
      <c r="B17" t="s">
        <v>4</v>
      </c>
      <c r="C17" t="s">
        <v>5</v>
      </c>
      <c r="D17" t="s">
        <v>47</v>
      </c>
      <c r="E17">
        <v>2</v>
      </c>
      <c r="F17" t="s">
        <v>61</v>
      </c>
      <c r="G17" t="s">
        <v>63</v>
      </c>
      <c r="H17" t="s">
        <v>64</v>
      </c>
    </row>
    <row r="18" spans="1:8" x14ac:dyDescent="0.25">
      <c r="A18" t="s">
        <v>3</v>
      </c>
      <c r="B18" t="s">
        <v>4</v>
      </c>
      <c r="C18" t="s">
        <v>5</v>
      </c>
      <c r="D18" t="s">
        <v>47</v>
      </c>
      <c r="E18">
        <v>2</v>
      </c>
      <c r="F18" t="s">
        <v>65</v>
      </c>
      <c r="G18" t="s">
        <v>66</v>
      </c>
      <c r="H18" t="s">
        <v>67</v>
      </c>
    </row>
    <row r="19" spans="1:8" x14ac:dyDescent="0.25">
      <c r="A19" t="s">
        <v>3</v>
      </c>
      <c r="B19" t="s">
        <v>4</v>
      </c>
      <c r="C19" t="s">
        <v>5</v>
      </c>
      <c r="D19" t="s">
        <v>47</v>
      </c>
      <c r="E19">
        <v>2</v>
      </c>
      <c r="F19" t="s">
        <v>68</v>
      </c>
      <c r="G19" t="s">
        <v>69</v>
      </c>
      <c r="H19" t="s">
        <v>70</v>
      </c>
    </row>
    <row r="20" spans="1:8" x14ac:dyDescent="0.25">
      <c r="A20" t="s">
        <v>3</v>
      </c>
      <c r="B20" t="s">
        <v>4</v>
      </c>
      <c r="C20" t="s">
        <v>5</v>
      </c>
      <c r="D20" t="s">
        <v>47</v>
      </c>
      <c r="E20">
        <v>2</v>
      </c>
      <c r="F20" t="s">
        <v>68</v>
      </c>
      <c r="G20" t="s">
        <v>71</v>
      </c>
      <c r="H20" t="s">
        <v>72</v>
      </c>
    </row>
    <row r="21" spans="1:8" x14ac:dyDescent="0.25">
      <c r="A21" t="s">
        <v>3</v>
      </c>
      <c r="B21" t="s">
        <v>4</v>
      </c>
      <c r="C21" t="s">
        <v>5</v>
      </c>
      <c r="D21" t="s">
        <v>47</v>
      </c>
      <c r="E21">
        <v>2</v>
      </c>
      <c r="F21" t="s">
        <v>68</v>
      </c>
      <c r="G21" t="s">
        <v>73</v>
      </c>
      <c r="H21" t="s">
        <v>74</v>
      </c>
    </row>
    <row r="22" spans="1:8" x14ac:dyDescent="0.25">
      <c r="A22" t="s">
        <v>3</v>
      </c>
      <c r="B22" t="s">
        <v>4</v>
      </c>
      <c r="C22" t="s">
        <v>5</v>
      </c>
      <c r="D22" t="s">
        <v>47</v>
      </c>
      <c r="E22">
        <v>2</v>
      </c>
      <c r="F22" t="s">
        <v>26</v>
      </c>
      <c r="G22" t="s">
        <v>27</v>
      </c>
      <c r="H22" t="s">
        <v>51</v>
      </c>
    </row>
    <row r="23" spans="1:8" x14ac:dyDescent="0.25">
      <c r="A23" t="s">
        <v>3</v>
      </c>
      <c r="B23" t="s">
        <v>4</v>
      </c>
      <c r="C23" t="s">
        <v>5</v>
      </c>
      <c r="D23" t="s">
        <v>47</v>
      </c>
      <c r="E23">
        <v>2</v>
      </c>
      <c r="F23" t="s">
        <v>26</v>
      </c>
      <c r="G23" t="s">
        <v>28</v>
      </c>
      <c r="H23" t="s">
        <v>51</v>
      </c>
    </row>
    <row r="24" spans="1:8" x14ac:dyDescent="0.25">
      <c r="A24" t="s">
        <v>3</v>
      </c>
      <c r="B24" t="s">
        <v>4</v>
      </c>
      <c r="C24" t="s">
        <v>5</v>
      </c>
      <c r="D24" t="s">
        <v>47</v>
      </c>
      <c r="E24">
        <v>2</v>
      </c>
      <c r="F24" t="s">
        <v>40</v>
      </c>
      <c r="G24" t="s">
        <v>41</v>
      </c>
      <c r="H24" t="s">
        <v>75</v>
      </c>
    </row>
    <row r="25" spans="1:8" x14ac:dyDescent="0.25">
      <c r="A25" t="s">
        <v>3</v>
      </c>
      <c r="B25" t="s">
        <v>4</v>
      </c>
      <c r="C25" t="s">
        <v>5</v>
      </c>
      <c r="D25" t="s">
        <v>47</v>
      </c>
      <c r="E25">
        <v>2</v>
      </c>
      <c r="F25" t="s">
        <v>40</v>
      </c>
      <c r="G25" t="s">
        <v>42</v>
      </c>
      <c r="H25" t="s">
        <v>76</v>
      </c>
    </row>
    <row r="26" spans="1:8" x14ac:dyDescent="0.25">
      <c r="A26" t="s">
        <v>3</v>
      </c>
      <c r="B26" t="s">
        <v>4</v>
      </c>
      <c r="C26" t="s">
        <v>5</v>
      </c>
      <c r="D26" t="s">
        <v>47</v>
      </c>
      <c r="E26">
        <v>2</v>
      </c>
      <c r="F26" t="s">
        <v>40</v>
      </c>
      <c r="G26" t="s">
        <v>43</v>
      </c>
      <c r="H26" t="s">
        <v>76</v>
      </c>
    </row>
    <row r="27" spans="1:8" x14ac:dyDescent="0.25">
      <c r="A27" t="s">
        <v>3</v>
      </c>
      <c r="B27" t="s">
        <v>4</v>
      </c>
      <c r="C27" t="s">
        <v>5</v>
      </c>
      <c r="D27" t="s">
        <v>47</v>
      </c>
      <c r="E27">
        <v>2</v>
      </c>
      <c r="F27" t="s">
        <v>40</v>
      </c>
      <c r="G27" t="s">
        <v>12</v>
      </c>
      <c r="H27" t="s">
        <v>77</v>
      </c>
    </row>
    <row r="28" spans="1:8" x14ac:dyDescent="0.25">
      <c r="A28" t="s">
        <v>3</v>
      </c>
      <c r="B28" t="s">
        <v>4</v>
      </c>
      <c r="C28" t="s">
        <v>5</v>
      </c>
      <c r="D28" t="s">
        <v>47</v>
      </c>
      <c r="E28">
        <v>2</v>
      </c>
      <c r="F28" t="s">
        <v>44</v>
      </c>
      <c r="G28" t="s">
        <v>41</v>
      </c>
      <c r="H28" t="s">
        <v>78</v>
      </c>
    </row>
    <row r="29" spans="1:8" x14ac:dyDescent="0.25">
      <c r="A29" t="s">
        <v>3</v>
      </c>
      <c r="B29" t="s">
        <v>4</v>
      </c>
      <c r="C29" t="s">
        <v>5</v>
      </c>
      <c r="D29" t="s">
        <v>47</v>
      </c>
      <c r="E29">
        <v>2</v>
      </c>
      <c r="F29" t="s">
        <v>44</v>
      </c>
      <c r="G29" t="s">
        <v>42</v>
      </c>
      <c r="H29" t="s">
        <v>79</v>
      </c>
    </row>
    <row r="30" spans="1:8" x14ac:dyDescent="0.25">
      <c r="A30" t="s">
        <v>3</v>
      </c>
      <c r="B30" t="s">
        <v>4</v>
      </c>
      <c r="C30" t="s">
        <v>5</v>
      </c>
      <c r="D30" t="s">
        <v>47</v>
      </c>
      <c r="E30">
        <v>2</v>
      </c>
      <c r="F30" t="s">
        <v>44</v>
      </c>
      <c r="G30" t="s">
        <v>43</v>
      </c>
      <c r="H30" t="s">
        <v>79</v>
      </c>
    </row>
    <row r="31" spans="1:8" x14ac:dyDescent="0.25">
      <c r="A31" t="s">
        <v>3</v>
      </c>
      <c r="B31" t="s">
        <v>4</v>
      </c>
      <c r="C31" t="s">
        <v>5</v>
      </c>
      <c r="D31" t="s">
        <v>47</v>
      </c>
      <c r="E31">
        <v>2</v>
      </c>
      <c r="F31" t="s">
        <v>44</v>
      </c>
      <c r="G31" t="s">
        <v>12</v>
      </c>
      <c r="H31" t="s">
        <v>77</v>
      </c>
    </row>
  </sheetData>
  <autoFilter ref="A1:H3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3.1 Outward Details</vt:lpstr>
      <vt:lpstr>3.1.1   Supplies under 9(5)</vt:lpstr>
      <vt:lpstr>3.1.2  Out of supplies made 3.1</vt:lpstr>
      <vt:lpstr>4. ITC Details</vt:lpstr>
      <vt:lpstr>GSTR-3B Detailed</vt:lpstr>
      <vt:lpstr>6.1 Payment of Tax</vt:lpstr>
      <vt:lpstr>Extraction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PUSHPAK KUMAR CHARAN PAHARI</cp:lastModifiedBy>
  <dcterms:created xsi:type="dcterms:W3CDTF">2026-08-25T21:51:56Z</dcterms:created>
  <dcterms:modified xsi:type="dcterms:W3CDTF">2026-08-25T22:04:04Z</dcterms:modified>
</cp:coreProperties>
</file>